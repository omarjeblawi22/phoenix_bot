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Phase 1" sheetId="2" r:id="rId6"/>
  </sheets>
  <definedNames/>
  <calcPr/>
</workbook>
</file>

<file path=xl/sharedStrings.xml><?xml version="1.0" encoding="utf-8"?>
<sst xmlns="http://schemas.openxmlformats.org/spreadsheetml/2006/main" count="222" uniqueCount="80">
  <si>
    <t>Product Category</t>
  </si>
  <si>
    <t>Product Name</t>
  </si>
  <si>
    <t>Quantity</t>
  </si>
  <si>
    <t>Price Per Unit</t>
  </si>
  <si>
    <t>Total Price</t>
  </si>
  <si>
    <t>Link for Purchase</t>
  </si>
  <si>
    <t>Prototype</t>
  </si>
  <si>
    <t>Note</t>
  </si>
  <si>
    <t>Requested from Maker Space?</t>
  </si>
  <si>
    <t>Computing</t>
  </si>
  <si>
    <t>Raspberry Pi 5 (8GB)</t>
  </si>
  <si>
    <r>
      <rPr>
        <rFont val="&quot;Google Sans Text&quot;, sans-serif !important"/>
        <color rgb="FF1155CC"/>
        <u/>
      </rPr>
      <t>Robotistan</t>
    </r>
  </si>
  <si>
    <t>NA</t>
  </si>
  <si>
    <t>N/A, Out of stock, can be obtained from Maker space, needed for prototype 2</t>
  </si>
  <si>
    <t>No</t>
  </si>
  <si>
    <t>ESP32 WROOM-32 Dev Board</t>
  </si>
  <si>
    <r>
      <rPr>
        <rFont val="&quot;Google Sans Text&quot;, sans-serif !important"/>
        <color rgb="FF1155CC"/>
        <u/>
      </rPr>
      <t>Robotistan</t>
    </r>
  </si>
  <si>
    <t>I</t>
  </si>
  <si>
    <t>Big version chosen for ease of use for prototyping, smaller pin version better for protoboard</t>
  </si>
  <si>
    <t>Sensing</t>
  </si>
  <si>
    <t>RPLidar C1 (360° LiDAR)</t>
  </si>
  <si>
    <t>II</t>
  </si>
  <si>
    <t>UAE Purchase: https://www.amazon.ae/WayPonDEV-RPLIDAR-C1-Avoidance-Navigation/dp/B0CMTXV5RC/ref=sr_1_1?crid=3VIT8U0WOJ436&amp;dib=eyJ2IjoiMSJ9.Dzu81wt9hX8rF0dGeh43YFMaVpddTWnMDPYq9CxiNBnJAcVyhRDJtXUIjxhJIAYCl5GgR4hRJ_pRjXQA1N9wjw._lg9DTzWjDz4WFHpuEoMig8Br38YKwN2SbJ9Y45zjp4&amp;dib_tag=se&amp;keywords=RPLidar+c1&amp;qid=1772602012&amp;sprefix=rplidar+c1%2Caps%2C122&amp;sr=8-1</t>
  </si>
  <si>
    <t>Unavailable</t>
  </si>
  <si>
    <t>ESp32 S3</t>
  </si>
  <si>
    <t>https://www.robotistan.com/xiao-esp32s3</t>
  </si>
  <si>
    <t>Possibly: https://www.robotistan.com/xiao-esp32s3</t>
  </si>
  <si>
    <t>ESP32-CAM Module</t>
  </si>
  <si>
    <t>https://www.robotsepeti.com/esp32-cam-wifi-bluetooth-gelistirme-karti-2mp-ov2640-kamera</t>
  </si>
  <si>
    <t>ok</t>
  </si>
  <si>
    <t>HC-SR04 Ultrasonic Sensor</t>
  </si>
  <si>
    <r>
      <rPr>
        <rFont val="&quot;Google Sans Text&quot;, sans-serif !important"/>
        <color rgb="FF1155CC"/>
        <u/>
      </rPr>
      <t>Robotistan</t>
    </r>
  </si>
  <si>
    <t>MPU6050 (or BNO055) IMU</t>
  </si>
  <si>
    <t>MPU6050 + HMC5883L/QMC5883 + BMP180 10DOF Sensör Kartı Satın Al</t>
  </si>
  <si>
    <t>OK</t>
  </si>
  <si>
    <t>Microphone</t>
  </si>
  <si>
    <t>Buy Sound Sensor Breakout - Microphone Sensor with cheap price</t>
  </si>
  <si>
    <t>No need for now</t>
  </si>
  <si>
    <t>Actuating</t>
  </si>
  <si>
    <t>Speaker</t>
  </si>
  <si>
    <t>Buy 8 Ohm 5W Speaker - Affordable Price</t>
  </si>
  <si>
    <t>connection direct to pi</t>
  </si>
  <si>
    <t>DC Gear Motors w/ Encoders</t>
  </si>
  <si>
    <t xml:space="preserve">https://www.direnc.net/jgb37-520-12v-530rpm-enkoderli-motor
</t>
  </si>
  <si>
    <t>Rubber Wheels</t>
  </si>
  <si>
    <t>6 V 250 RPM Motor Uyumlu Tekerlek - Sarı Tekerlek Satın Al</t>
  </si>
  <si>
    <t>TB6612FNG Motor Driver</t>
  </si>
  <si>
    <t>TB6612FNG Step Motor Sürücü / DC Motor Sürücü Satın Al</t>
  </si>
  <si>
    <t>May be problmetic but ok for now if parallel</t>
  </si>
  <si>
    <t>Power</t>
  </si>
  <si>
    <t>lithium batteries (3/2800) + controller</t>
  </si>
  <si>
    <t>https://www.idefix.com/aspilsan-inr18650a28-37v-2800-mah-li-ion-sarjli-pil-25a-3-lu-pinli-3s-40ah-koruma-devresi-p-7159268?vendorId=3232&amp;ref=akakce&amp;v=1.94</t>
  </si>
  <si>
    <t>wait for makerspace</t>
  </si>
  <si>
    <t>12.6v Charger</t>
  </si>
  <si>
    <t>3S 2A 12.6V Lityum Şarjer 5,5x2,5 Uçlu Priz Tipi</t>
  </si>
  <si>
    <t>5V/5A UBEC (Step-Down)</t>
  </si>
  <si>
    <r>
      <rPr>
        <rFont val="&quot;Google Sans Text&quot;, sans-serif !important"/>
        <color rgb="FF1155CC"/>
        <u/>
      </rPr>
      <t>Robotistan</t>
    </r>
  </si>
  <si>
    <t>LM2596 5V/3A Buck Converter</t>
  </si>
  <si>
    <r>
      <rPr>
        <rFont val="&quot;Google Sans Text&quot;, sans-serif !important"/>
        <color rgb="FF1155CC"/>
        <u/>
      </rPr>
      <t>Robotistan</t>
    </r>
  </si>
  <si>
    <t>Misc</t>
  </si>
  <si>
    <t>Logic Level Converters</t>
  </si>
  <si>
    <t>https://www.robotsepeti.com/txs0108e-8-kanal-mantik-seviye-donusturucu-logic-level-converter</t>
  </si>
  <si>
    <t>NA, not needed for now</t>
  </si>
  <si>
    <t>Couplings</t>
  </si>
  <si>
    <t>6 mm Kaplin - 2 Adet Satın Al</t>
  </si>
  <si>
    <t>Jumper Wires, Breadboards, Standoffs</t>
  </si>
  <si>
    <r>
      <rPr>
        <rFont val="&quot;Google Sans Text&quot;, sans-serif !important"/>
        <color rgb="FF1155CC"/>
        <u/>
      </rPr>
      <t>Robotistan</t>
    </r>
  </si>
  <si>
    <t>couple of cable sets (male-male, male female, female female), breadboard, proto board ( https://www.robotistan.com/pertinax-board )...etc.)</t>
  </si>
  <si>
    <t>SET</t>
  </si>
  <si>
    <t xml:space="preserve">Robot Chasis Set </t>
  </si>
  <si>
    <t>https://www.robotistan.com/2wd-multipurpose-mobile-robot-kit</t>
  </si>
  <si>
    <t>Chasis for prototype I</t>
  </si>
  <si>
    <r>
      <rPr>
        <rFont val="&quot;Google Sans Text&quot;, sans-serif !important"/>
        <color rgb="FF1155CC"/>
        <u/>
      </rPr>
      <t>Robotistan</t>
    </r>
  </si>
  <si>
    <r>
      <rPr>
        <rFont val="&quot;Google Sans Text&quot;, sans-serif !important"/>
        <color rgb="FF1155CC"/>
        <u/>
      </rPr>
      <t>Robotistan</t>
    </r>
  </si>
  <si>
    <r>
      <rPr>
        <rFont val="&quot;Google Sans Text&quot;, sans-serif !important"/>
        <color rgb="FF1155CC"/>
        <u/>
      </rPr>
      <t>Robotistan</t>
    </r>
  </si>
  <si>
    <t xml:space="preserve">OK, available </t>
  </si>
  <si>
    <r>
      <rPr>
        <rFont val="&quot;Google Sans Text&quot;, sans-serif !important"/>
        <color rgb="FF1155CC"/>
        <u/>
      </rPr>
      <t>Robotistan</t>
    </r>
  </si>
  <si>
    <r>
      <rPr>
        <rFont val="&quot;Google Sans Text&quot;, sans-serif !important"/>
        <color rgb="FF1155CC"/>
        <u/>
      </rPr>
      <t>Robotistan</t>
    </r>
  </si>
  <si>
    <r>
      <rPr>
        <rFont val="&quot;Google Sans Text&quot;, sans-serif !important"/>
        <color rgb="FF1155CC"/>
        <u/>
      </rPr>
      <t>Robotistan</t>
    </r>
  </si>
  <si>
    <t>Buy 2WD Multipurpose Mobile Robot Kit | Robotistan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</si>
</sst>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b/>
      <color theme="1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3" xfId="0" applyAlignment="1" applyFont="1" applyNumberForma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5" pivot="0" name="Main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Phase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I22" displayName="Table1" name="Table1" id="1">
  <tableColumns count="9">
    <tableColumn name="Product Category" id="1"/>
    <tableColumn name="Product Name" id="2"/>
    <tableColumn name="Quantity" id="3"/>
    <tableColumn name="Price Per Unit" id="4"/>
    <tableColumn totalsRowFunction="custom" name="Total Price" id="5"/>
    <tableColumn name="Link for Purchase" id="6"/>
    <tableColumn name="Prototype" id="7"/>
    <tableColumn name="Note" id="8"/>
    <tableColumn name="Requested from Maker Space?" id="9"/>
  </tableColumns>
  <tableStyleInfo name="Main-style" showColumnStripes="0" showFirstColumn="1" showLastColumn="1" showRowStripes="1"/>
</table>
</file>

<file path=xl/tables/table2.xml><?xml version="1.0" encoding="utf-8"?>
<table xmlns="http://schemas.openxmlformats.org/spreadsheetml/2006/main" totalsRowCount="1" ref="A1:I22" displayName="Table1_2" name="Table1_2" id="2">
  <tableColumns count="9">
    <tableColumn name="Product Category" id="1"/>
    <tableColumn name="Product Name" id="2"/>
    <tableColumn name="Quantity" id="3"/>
    <tableColumn name="Price Per Unit" id="4"/>
    <tableColumn totalsRowFunction="custom" name="Total Price" id="5"/>
    <tableColumn name="Link for Purchase" id="6"/>
    <tableColumn name="Prototype" id="7"/>
    <tableColumn name="Note" id="8"/>
    <tableColumn name="Requested from Maker Space?" id="9"/>
  </tableColumns>
  <tableStyleInfo name="Phas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robotistan.com/tb6612fng-step-motor-surucu-dc-motor-sucuru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www.robotistan.com/6-v-250-rpm-motor-uyumlu-tekerlerk-sari-tekerlek" TargetMode="External"/><Relationship Id="rId13" Type="http://schemas.openxmlformats.org/officeDocument/2006/relationships/hyperlink" Target="https://meltisteknoloji.com/3s-2a-126v-lityum-sarjer-55x25-uclu-priz-tipi-1106" TargetMode="External"/><Relationship Id="rId12" Type="http://schemas.openxmlformats.org/officeDocument/2006/relationships/hyperlink" Target="https://www.idefix.com/aspilsan-inr18650a28-37v-2800-mah-li-ion-sarjli-pil-25a-3-lu-pinli-3s-40ah-koruma-devresi-p-7159268?vendorId=3232&amp;ref=akakce&amp;v=1.94" TargetMode="External"/><Relationship Id="rId1" Type="http://schemas.openxmlformats.org/officeDocument/2006/relationships/hyperlink" Target="https://www.robotistan.com/raspberry-pi-5-8-gb" TargetMode="External"/><Relationship Id="rId2" Type="http://schemas.openxmlformats.org/officeDocument/2006/relationships/hyperlink" Target="https://www.robotistan.com/espduino-32-esp32-wifi-ve-bletooth-gelistirme-karti" TargetMode="External"/><Relationship Id="rId3" Type="http://schemas.openxmlformats.org/officeDocument/2006/relationships/hyperlink" Target="https://www.robotistan.com/xiao-esp32s3" TargetMode="External"/><Relationship Id="rId4" Type="http://schemas.openxmlformats.org/officeDocument/2006/relationships/hyperlink" Target="https://www.robotsepeti.com/esp32-cam-wifi-bluetooth-gelistirme-karti-2mp-ov2640-kamera" TargetMode="External"/><Relationship Id="rId9" Type="http://schemas.openxmlformats.org/officeDocument/2006/relationships/hyperlink" Target="https://www.direnc.net/jgb37-520-12v-530rpm-enkoderli-motor" TargetMode="External"/><Relationship Id="rId15" Type="http://schemas.openxmlformats.org/officeDocument/2006/relationships/hyperlink" Target="https://www.google.com/search?q=https://www.robotistan.com/lm2596" TargetMode="External"/><Relationship Id="rId14" Type="http://schemas.openxmlformats.org/officeDocument/2006/relationships/hyperlink" Target="https://www.google.com/search?q=https://www.robotistan.com/ubec" TargetMode="External"/><Relationship Id="rId17" Type="http://schemas.openxmlformats.org/officeDocument/2006/relationships/hyperlink" Target="https://www.robotistan.com/6-mm-kaplin-2-adet" TargetMode="External"/><Relationship Id="rId16" Type="http://schemas.openxmlformats.org/officeDocument/2006/relationships/hyperlink" Target="https://www.robotsepeti.com/txs0108e-8-kanal-mantik-seviye-donusturucu-logic-level-converter" TargetMode="External"/><Relationship Id="rId5" Type="http://schemas.openxmlformats.org/officeDocument/2006/relationships/hyperlink" Target="https://www.robotistan.com/hc-sr04-ultrasonik-mesafe-sensoru" TargetMode="External"/><Relationship Id="rId19" Type="http://schemas.openxmlformats.org/officeDocument/2006/relationships/hyperlink" Target="https://www.robotistan.com/2wd-multipurpose-mobile-robot-kit" TargetMode="External"/><Relationship Id="rId6" Type="http://schemas.openxmlformats.org/officeDocument/2006/relationships/hyperlink" Target="https://www.robotistan.com/mpu6050-hmc5883l-bmp180-10dof-sensor-karti" TargetMode="External"/><Relationship Id="rId18" Type="http://schemas.openxmlformats.org/officeDocument/2006/relationships/hyperlink" Target="https://www.robotistan.com/jumper-kablo" TargetMode="External"/><Relationship Id="rId7" Type="http://schemas.openxmlformats.org/officeDocument/2006/relationships/hyperlink" Target="https://www.robotistan.com/sound-sensor-breakout-microphone-sensor" TargetMode="External"/><Relationship Id="rId8" Type="http://schemas.openxmlformats.org/officeDocument/2006/relationships/hyperlink" Target="https://www.robotistan.com/8-ohm-5w-speaker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www.robotistan.com/tb6612fng-step-motor-surucu-dc-motor-sucuru" TargetMode="External"/><Relationship Id="rId22" Type="http://schemas.openxmlformats.org/officeDocument/2006/relationships/table" Target="../tables/table2.xml"/><Relationship Id="rId10" Type="http://schemas.openxmlformats.org/officeDocument/2006/relationships/hyperlink" Target="https://www.robotistan.com/6-v-250-rpm-motor-uyumlu-tekerlerk-sari-tekerlek" TargetMode="External"/><Relationship Id="rId13" Type="http://schemas.openxmlformats.org/officeDocument/2006/relationships/hyperlink" Target="https://meltisteknoloji.com/3s-2a-126v-lityum-sarjer-55x25-uclu-priz-tipi-1106" TargetMode="External"/><Relationship Id="rId12" Type="http://schemas.openxmlformats.org/officeDocument/2006/relationships/hyperlink" Target="https://www.idefix.com/aspilsan-inr18650a28-37v-2800-mah-li-ion-sarjli-pil-25a-3-lu-pinli-3s-40ah-koruma-devresi-p-7159268?vendorId=3232&amp;ref=akakce&amp;v=1.94" TargetMode="External"/><Relationship Id="rId1" Type="http://schemas.openxmlformats.org/officeDocument/2006/relationships/hyperlink" Target="https://www.robotistan.com/raspberry-pi-5-8-gb" TargetMode="External"/><Relationship Id="rId2" Type="http://schemas.openxmlformats.org/officeDocument/2006/relationships/hyperlink" Target="https://www.robotistan.com/espduino-32-esp32-wifi-ve-bletooth-gelistirme-karti" TargetMode="External"/><Relationship Id="rId3" Type="http://schemas.openxmlformats.org/officeDocument/2006/relationships/hyperlink" Target="https://www.robotistan.com/xiao-esp32s3" TargetMode="External"/><Relationship Id="rId4" Type="http://schemas.openxmlformats.org/officeDocument/2006/relationships/hyperlink" Target="https://www.robotsepeti.com/esp32-cam-wifi-bluetooth-gelistirme-karti-2mp-ov2640-kamera" TargetMode="External"/><Relationship Id="rId9" Type="http://schemas.openxmlformats.org/officeDocument/2006/relationships/hyperlink" Target="https://www.direnc.net/jgb37-520-12v-530rpm-enkoderli-motor" TargetMode="External"/><Relationship Id="rId15" Type="http://schemas.openxmlformats.org/officeDocument/2006/relationships/hyperlink" Target="https://www.google.com/search?q=https://www.robotistan.com/lm2596" TargetMode="External"/><Relationship Id="rId14" Type="http://schemas.openxmlformats.org/officeDocument/2006/relationships/hyperlink" Target="https://www.google.com/search?q=https://www.robotistan.com/ubec" TargetMode="External"/><Relationship Id="rId17" Type="http://schemas.openxmlformats.org/officeDocument/2006/relationships/hyperlink" Target="https://www.robotistan.com/6-mm-kaplin-2-adet" TargetMode="External"/><Relationship Id="rId16" Type="http://schemas.openxmlformats.org/officeDocument/2006/relationships/hyperlink" Target="https://www.robotsepeti.com/txs0108e-8-kanal-mantik-seviye-donusturucu-logic-level-converter" TargetMode="External"/><Relationship Id="rId5" Type="http://schemas.openxmlformats.org/officeDocument/2006/relationships/hyperlink" Target="https://www.robotistan.com/hc-sr04-ultrasonik-mesafe-sensoru" TargetMode="External"/><Relationship Id="rId19" Type="http://schemas.openxmlformats.org/officeDocument/2006/relationships/hyperlink" Target="https://www.robotistan.com/2wd-multipurpose-mobile-robot-kit" TargetMode="External"/><Relationship Id="rId6" Type="http://schemas.openxmlformats.org/officeDocument/2006/relationships/hyperlink" Target="https://www.robotistan.com/mpu6050-hmc5883l-bmp180-10dof-sensor-karti" TargetMode="External"/><Relationship Id="rId18" Type="http://schemas.openxmlformats.org/officeDocument/2006/relationships/hyperlink" Target="https://www.robotistan.com/jumper-kablo" TargetMode="External"/><Relationship Id="rId7" Type="http://schemas.openxmlformats.org/officeDocument/2006/relationships/hyperlink" Target="https://www.robotistan.com/sound-sensor-breakout-microphone-sensor" TargetMode="External"/><Relationship Id="rId8" Type="http://schemas.openxmlformats.org/officeDocument/2006/relationships/hyperlink" Target="https://www.robotistan.com/8-ohm-5w-speak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  <col customWidth="1" min="4" max="4" width="22.25"/>
    <col customWidth="1" min="5" max="5" width="20.0"/>
    <col customWidth="1" min="6" max="6" width="25.38"/>
    <col customWidth="1" min="7" max="7" width="15.88"/>
    <col customWidth="1" min="9" max="9" width="3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 t="s">
        <v>10</v>
      </c>
      <c r="C2" s="4">
        <v>1.0</v>
      </c>
      <c r="D2" s="5">
        <v>7081.0</v>
      </c>
      <c r="E2" s="5">
        <f t="shared" ref="E2:E21" si="1">D2*C2</f>
        <v>7081</v>
      </c>
      <c r="F2" s="6" t="s">
        <v>11</v>
      </c>
      <c r="G2" s="7" t="s">
        <v>12</v>
      </c>
      <c r="H2" s="8" t="s">
        <v>13</v>
      </c>
      <c r="I2" s="7" t="s">
        <v>14</v>
      </c>
    </row>
    <row r="3" ht="22.5" customHeight="1">
      <c r="A3" s="3" t="s">
        <v>9</v>
      </c>
      <c r="B3" s="4" t="s">
        <v>15</v>
      </c>
      <c r="C3" s="4">
        <v>1.0</v>
      </c>
      <c r="D3" s="4">
        <v>350.0</v>
      </c>
      <c r="E3" s="5">
        <f t="shared" si="1"/>
        <v>350</v>
      </c>
      <c r="F3" s="6" t="s">
        <v>16</v>
      </c>
      <c r="G3" s="7" t="s">
        <v>17</v>
      </c>
      <c r="H3" s="8" t="s">
        <v>18</v>
      </c>
      <c r="I3" s="7" t="s">
        <v>14</v>
      </c>
    </row>
    <row r="4" ht="22.5" customHeight="1">
      <c r="A4" s="3" t="s">
        <v>19</v>
      </c>
      <c r="B4" s="4" t="s">
        <v>20</v>
      </c>
      <c r="C4" s="4">
        <v>1.0</v>
      </c>
      <c r="D4" s="5">
        <v>4275.0</v>
      </c>
      <c r="E4" s="5">
        <f t="shared" si="1"/>
        <v>4275</v>
      </c>
      <c r="F4" s="4"/>
      <c r="G4" s="7" t="s">
        <v>21</v>
      </c>
      <c r="H4" s="8" t="s">
        <v>22</v>
      </c>
      <c r="I4" s="7" t="s">
        <v>23</v>
      </c>
    </row>
    <row r="5" ht="22.5" customHeight="1">
      <c r="A5" s="3" t="s">
        <v>19</v>
      </c>
      <c r="B5" s="4" t="s">
        <v>24</v>
      </c>
      <c r="C5" s="4">
        <v>2.0</v>
      </c>
      <c r="D5" s="5">
        <v>650.0</v>
      </c>
      <c r="E5" s="5">
        <f t="shared" si="1"/>
        <v>1300</v>
      </c>
      <c r="F5" s="6" t="s">
        <v>25</v>
      </c>
      <c r="G5" s="7" t="s">
        <v>17</v>
      </c>
      <c r="H5" s="8" t="s">
        <v>26</v>
      </c>
      <c r="I5" s="7" t="s">
        <v>23</v>
      </c>
    </row>
    <row r="6" ht="22.5" customHeight="1">
      <c r="A6" s="3" t="s">
        <v>19</v>
      </c>
      <c r="B6" s="4" t="s">
        <v>27</v>
      </c>
      <c r="C6" s="4">
        <v>1.0</v>
      </c>
      <c r="D6" s="4">
        <v>577.0</v>
      </c>
      <c r="E6" s="5">
        <f t="shared" si="1"/>
        <v>577</v>
      </c>
      <c r="F6" s="9" t="s">
        <v>28</v>
      </c>
      <c r="G6" s="7" t="s">
        <v>21</v>
      </c>
      <c r="H6" s="8" t="s">
        <v>29</v>
      </c>
      <c r="I6" s="10"/>
    </row>
    <row r="7" ht="22.5" customHeight="1">
      <c r="A7" s="3" t="s">
        <v>19</v>
      </c>
      <c r="B7" s="4" t="s">
        <v>30</v>
      </c>
      <c r="C7" s="4">
        <v>4.0</v>
      </c>
      <c r="D7" s="4">
        <v>66.0</v>
      </c>
      <c r="E7" s="5">
        <f t="shared" si="1"/>
        <v>264</v>
      </c>
      <c r="F7" s="6" t="s">
        <v>31</v>
      </c>
      <c r="G7" s="7" t="s">
        <v>17</v>
      </c>
      <c r="H7" s="8" t="s">
        <v>29</v>
      </c>
      <c r="I7" s="10"/>
    </row>
    <row r="8" ht="22.5" customHeight="1">
      <c r="A8" s="3" t="s">
        <v>19</v>
      </c>
      <c r="B8" s="4" t="s">
        <v>32</v>
      </c>
      <c r="C8" s="4">
        <v>1.0</v>
      </c>
      <c r="D8" s="4">
        <v>300.0</v>
      </c>
      <c r="E8" s="5">
        <f t="shared" si="1"/>
        <v>300</v>
      </c>
      <c r="F8" s="9" t="s">
        <v>33</v>
      </c>
      <c r="G8" s="7" t="s">
        <v>21</v>
      </c>
      <c r="H8" s="8" t="s">
        <v>34</v>
      </c>
      <c r="I8" s="10"/>
    </row>
    <row r="9" ht="22.5" customHeight="1">
      <c r="A9" s="3" t="s">
        <v>19</v>
      </c>
      <c r="B9" s="4" t="s">
        <v>35</v>
      </c>
      <c r="C9" s="4">
        <v>1.0</v>
      </c>
      <c r="D9" s="4">
        <v>40.0</v>
      </c>
      <c r="E9" s="5">
        <f t="shared" si="1"/>
        <v>40</v>
      </c>
      <c r="F9" s="9" t="s">
        <v>36</v>
      </c>
      <c r="G9" s="7" t="s">
        <v>12</v>
      </c>
      <c r="H9" s="8" t="s">
        <v>37</v>
      </c>
      <c r="I9" s="10"/>
    </row>
    <row r="10" ht="22.5" customHeight="1">
      <c r="A10" s="3" t="s">
        <v>38</v>
      </c>
      <c r="B10" s="4" t="s">
        <v>39</v>
      </c>
      <c r="C10" s="4">
        <v>1.0</v>
      </c>
      <c r="D10" s="4">
        <v>250.0</v>
      </c>
      <c r="E10" s="5">
        <f t="shared" si="1"/>
        <v>250</v>
      </c>
      <c r="F10" s="9" t="s">
        <v>40</v>
      </c>
      <c r="G10" s="7" t="s">
        <v>21</v>
      </c>
      <c r="H10" s="8" t="s">
        <v>41</v>
      </c>
      <c r="I10" s="10"/>
    </row>
    <row r="11" ht="22.5" customHeight="1">
      <c r="A11" s="3" t="s">
        <v>38</v>
      </c>
      <c r="B11" s="4" t="s">
        <v>42</v>
      </c>
      <c r="C11" s="4">
        <v>4.0</v>
      </c>
      <c r="D11" s="4">
        <v>582.0</v>
      </c>
      <c r="E11" s="5">
        <f t="shared" si="1"/>
        <v>2328</v>
      </c>
      <c r="F11" s="9" t="s">
        <v>43</v>
      </c>
      <c r="G11" s="7" t="s">
        <v>17</v>
      </c>
      <c r="H11" s="8" t="s">
        <v>29</v>
      </c>
      <c r="I11" s="10"/>
    </row>
    <row r="12" ht="22.5" customHeight="1">
      <c r="A12" s="3" t="s">
        <v>38</v>
      </c>
      <c r="B12" s="4" t="s">
        <v>44</v>
      </c>
      <c r="C12" s="4">
        <v>4.0</v>
      </c>
      <c r="D12" s="4">
        <v>25.0</v>
      </c>
      <c r="E12" s="5">
        <f t="shared" si="1"/>
        <v>100</v>
      </c>
      <c r="F12" s="9" t="s">
        <v>45</v>
      </c>
      <c r="G12" s="7" t="s">
        <v>17</v>
      </c>
      <c r="I12" s="10"/>
    </row>
    <row r="13" ht="22.5" customHeight="1">
      <c r="A13" s="3" t="s">
        <v>38</v>
      </c>
      <c r="B13" s="4" t="s">
        <v>46</v>
      </c>
      <c r="C13" s="4">
        <v>4.0</v>
      </c>
      <c r="D13" s="4">
        <v>110.0</v>
      </c>
      <c r="E13" s="5">
        <f t="shared" si="1"/>
        <v>440</v>
      </c>
      <c r="F13" s="9" t="s">
        <v>47</v>
      </c>
      <c r="G13" s="7" t="s">
        <v>17</v>
      </c>
      <c r="H13" s="8" t="s">
        <v>48</v>
      </c>
      <c r="I13" s="10"/>
    </row>
    <row r="14" ht="22.5" customHeight="1">
      <c r="A14" s="3" t="s">
        <v>49</v>
      </c>
      <c r="B14" s="4" t="s">
        <v>50</v>
      </c>
      <c r="C14" s="4">
        <v>1.0</v>
      </c>
      <c r="D14" s="4">
        <v>650.0</v>
      </c>
      <c r="E14" s="5">
        <f t="shared" si="1"/>
        <v>650</v>
      </c>
      <c r="F14" s="9" t="s">
        <v>51</v>
      </c>
      <c r="G14" s="7" t="s">
        <v>12</v>
      </c>
      <c r="H14" s="8" t="s">
        <v>52</v>
      </c>
      <c r="I14" s="10"/>
    </row>
    <row r="15" ht="22.5" customHeight="1">
      <c r="A15" s="3" t="s">
        <v>49</v>
      </c>
      <c r="B15" s="4" t="s">
        <v>53</v>
      </c>
      <c r="C15" s="4">
        <v>1.0</v>
      </c>
      <c r="D15" s="5">
        <v>175.0</v>
      </c>
      <c r="E15" s="5">
        <f t="shared" si="1"/>
        <v>175</v>
      </c>
      <c r="F15" s="9" t="s">
        <v>54</v>
      </c>
      <c r="G15" s="7" t="s">
        <v>12</v>
      </c>
      <c r="H15" s="8" t="s">
        <v>52</v>
      </c>
      <c r="I15" s="10"/>
    </row>
    <row r="16" ht="22.5" customHeight="1">
      <c r="A16" s="3" t="s">
        <v>49</v>
      </c>
      <c r="B16" s="4" t="s">
        <v>55</v>
      </c>
      <c r="C16" s="4">
        <v>1.0</v>
      </c>
      <c r="D16" s="4">
        <v>350.0</v>
      </c>
      <c r="E16" s="5">
        <f t="shared" si="1"/>
        <v>350</v>
      </c>
      <c r="F16" s="6" t="s">
        <v>56</v>
      </c>
      <c r="G16" s="7" t="s">
        <v>17</v>
      </c>
      <c r="H16" s="8" t="s">
        <v>29</v>
      </c>
      <c r="I16" s="10"/>
    </row>
    <row r="17" ht="22.5" customHeight="1">
      <c r="A17" s="3" t="s">
        <v>49</v>
      </c>
      <c r="B17" s="4" t="s">
        <v>57</v>
      </c>
      <c r="C17" s="4">
        <v>3.0</v>
      </c>
      <c r="D17" s="4">
        <v>50.0</v>
      </c>
      <c r="E17" s="5">
        <f t="shared" si="1"/>
        <v>150</v>
      </c>
      <c r="F17" s="6" t="s">
        <v>58</v>
      </c>
      <c r="G17" s="7" t="s">
        <v>17</v>
      </c>
      <c r="H17" s="8" t="s">
        <v>29</v>
      </c>
      <c r="I17" s="10"/>
    </row>
    <row r="18" ht="22.5" customHeight="1">
      <c r="A18" s="3" t="s">
        <v>59</v>
      </c>
      <c r="B18" s="4" t="s">
        <v>60</v>
      </c>
      <c r="C18" s="4">
        <v>2.0</v>
      </c>
      <c r="D18" s="4">
        <v>40.0</v>
      </c>
      <c r="E18" s="5">
        <f t="shared" si="1"/>
        <v>80</v>
      </c>
      <c r="F18" s="6" t="s">
        <v>61</v>
      </c>
      <c r="G18" s="7" t="s">
        <v>17</v>
      </c>
      <c r="H18" s="8" t="s">
        <v>62</v>
      </c>
      <c r="I18" s="10"/>
    </row>
    <row r="19" ht="22.5" customHeight="1">
      <c r="A19" s="3" t="s">
        <v>59</v>
      </c>
      <c r="B19" s="4" t="s">
        <v>63</v>
      </c>
      <c r="C19" s="4">
        <v>2.0</v>
      </c>
      <c r="D19" s="4">
        <v>150.0</v>
      </c>
      <c r="E19" s="5">
        <f t="shared" si="1"/>
        <v>300</v>
      </c>
      <c r="F19" s="9" t="s">
        <v>64</v>
      </c>
      <c r="G19" s="7" t="s">
        <v>17</v>
      </c>
      <c r="H19" s="8" t="s">
        <v>29</v>
      </c>
      <c r="I19" s="10"/>
    </row>
    <row r="20" ht="22.5" customHeight="1">
      <c r="A20" s="3" t="s">
        <v>59</v>
      </c>
      <c r="B20" s="4" t="s">
        <v>65</v>
      </c>
      <c r="C20" s="4">
        <v>1.0</v>
      </c>
      <c r="D20" s="4">
        <v>400.0</v>
      </c>
      <c r="E20" s="5">
        <f t="shared" si="1"/>
        <v>400</v>
      </c>
      <c r="F20" s="6" t="s">
        <v>66</v>
      </c>
      <c r="G20" s="7" t="s">
        <v>17</v>
      </c>
      <c r="H20" s="8" t="s">
        <v>67</v>
      </c>
      <c r="I20" s="10"/>
    </row>
    <row r="21" ht="22.5" customHeight="1">
      <c r="A21" s="3" t="s">
        <v>68</v>
      </c>
      <c r="B21" s="4" t="s">
        <v>69</v>
      </c>
      <c r="C21" s="4">
        <v>1.0</v>
      </c>
      <c r="D21" s="4">
        <v>550.0</v>
      </c>
      <c r="E21" s="5">
        <f t="shared" si="1"/>
        <v>550</v>
      </c>
      <c r="F21" s="6" t="s">
        <v>70</v>
      </c>
      <c r="G21" s="7" t="s">
        <v>17</v>
      </c>
      <c r="H21" s="8" t="s">
        <v>71</v>
      </c>
      <c r="I21" s="10"/>
    </row>
    <row r="22" ht="22.5" customHeight="1">
      <c r="A22" s="11"/>
      <c r="B22" s="12"/>
      <c r="C22" s="12"/>
      <c r="D22" s="12"/>
      <c r="E22" s="13">
        <f>SUM(Table1[Total Price])</f>
        <v>19960</v>
      </c>
      <c r="F22" s="12"/>
    </row>
  </sheetData>
  <dataValidations>
    <dataValidation type="list" allowBlank="1" sqref="G2:G21">
      <formula1>"NA,I,II"</formula1>
    </dataValidation>
    <dataValidation type="list" allowBlank="1" sqref="I2:I21">
      <formula1>"Yes,No,Received,Unavailable"</formula1>
    </dataValidation>
  </dataValidations>
  <hyperlinks>
    <hyperlink r:id="rId1" ref="F2"/>
    <hyperlink r:id="rId2" ref="F3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</hyperlinks>
  <drawing r:id="rId20"/>
  <tableParts count="1"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  <col customWidth="1" min="4" max="4" width="22.25"/>
    <col customWidth="1" min="5" max="5" width="20.0"/>
    <col customWidth="1" min="6" max="6" width="25.38"/>
    <col customWidth="1" min="7" max="7" width="15.88"/>
    <col customWidth="1" min="9" max="9" width="3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 t="s">
        <v>10</v>
      </c>
      <c r="C2" s="4">
        <v>1.0</v>
      </c>
      <c r="D2" s="5">
        <v>7081.0</v>
      </c>
      <c r="E2" s="5">
        <f t="shared" ref="E2:E21" si="1">D2*C2</f>
        <v>7081</v>
      </c>
      <c r="F2" s="6" t="s">
        <v>72</v>
      </c>
      <c r="G2" s="7" t="s">
        <v>12</v>
      </c>
      <c r="H2" s="8" t="s">
        <v>13</v>
      </c>
      <c r="I2" s="7" t="s">
        <v>14</v>
      </c>
    </row>
    <row r="3" ht="22.5" customHeight="1">
      <c r="A3" s="14" t="s">
        <v>9</v>
      </c>
      <c r="B3" s="15" t="s">
        <v>15</v>
      </c>
      <c r="C3" s="15">
        <v>1.0</v>
      </c>
      <c r="D3" s="15">
        <v>350.0</v>
      </c>
      <c r="E3" s="16">
        <f t="shared" si="1"/>
        <v>350</v>
      </c>
      <c r="F3" s="17" t="s">
        <v>73</v>
      </c>
      <c r="G3" s="7" t="s">
        <v>17</v>
      </c>
      <c r="H3" s="8" t="s">
        <v>18</v>
      </c>
      <c r="I3" s="7" t="s">
        <v>14</v>
      </c>
    </row>
    <row r="4" ht="22.5" customHeight="1">
      <c r="A4" s="3" t="s">
        <v>19</v>
      </c>
      <c r="B4" s="4" t="s">
        <v>20</v>
      </c>
      <c r="C4" s="4">
        <v>1.0</v>
      </c>
      <c r="D4" s="5">
        <v>4275.0</v>
      </c>
      <c r="E4" s="5">
        <f t="shared" si="1"/>
        <v>4275</v>
      </c>
      <c r="F4" s="4"/>
      <c r="G4" s="7" t="s">
        <v>21</v>
      </c>
      <c r="H4" s="8" t="s">
        <v>22</v>
      </c>
      <c r="I4" s="7" t="s">
        <v>23</v>
      </c>
    </row>
    <row r="5" ht="22.5" customHeight="1">
      <c r="A5" s="14" t="s">
        <v>19</v>
      </c>
      <c r="B5" s="15" t="s">
        <v>24</v>
      </c>
      <c r="C5" s="15">
        <v>2.0</v>
      </c>
      <c r="D5" s="16">
        <v>650.0</v>
      </c>
      <c r="E5" s="16">
        <f t="shared" si="1"/>
        <v>1300</v>
      </c>
      <c r="F5" s="17" t="s">
        <v>25</v>
      </c>
      <c r="G5" s="7" t="s">
        <v>17</v>
      </c>
      <c r="H5" s="8" t="s">
        <v>26</v>
      </c>
      <c r="I5" s="7" t="s">
        <v>23</v>
      </c>
    </row>
    <row r="6" ht="22.5" customHeight="1">
      <c r="A6" s="3" t="s">
        <v>19</v>
      </c>
      <c r="B6" s="4" t="s">
        <v>27</v>
      </c>
      <c r="C6" s="4">
        <v>1.0</v>
      </c>
      <c r="D6" s="4">
        <v>577.0</v>
      </c>
      <c r="E6" s="5">
        <f t="shared" si="1"/>
        <v>577</v>
      </c>
      <c r="F6" s="9" t="s">
        <v>28</v>
      </c>
      <c r="G6" s="7" t="s">
        <v>21</v>
      </c>
      <c r="H6" s="8" t="s">
        <v>29</v>
      </c>
      <c r="I6" s="10"/>
    </row>
    <row r="7" ht="22.5" customHeight="1">
      <c r="A7" s="14" t="s">
        <v>19</v>
      </c>
      <c r="B7" s="15" t="s">
        <v>30</v>
      </c>
      <c r="C7" s="15">
        <v>4.0</v>
      </c>
      <c r="D7" s="15">
        <v>66.0</v>
      </c>
      <c r="E7" s="16">
        <f t="shared" si="1"/>
        <v>264</v>
      </c>
      <c r="F7" s="17" t="s">
        <v>74</v>
      </c>
      <c r="G7" s="7" t="s">
        <v>17</v>
      </c>
      <c r="H7" s="8" t="s">
        <v>29</v>
      </c>
      <c r="I7" s="10"/>
    </row>
    <row r="8" ht="22.5" customHeight="1">
      <c r="A8" s="3" t="s">
        <v>19</v>
      </c>
      <c r="B8" s="4" t="s">
        <v>32</v>
      </c>
      <c r="C8" s="4">
        <v>1.0</v>
      </c>
      <c r="D8" s="4">
        <v>300.0</v>
      </c>
      <c r="E8" s="5">
        <f t="shared" si="1"/>
        <v>300</v>
      </c>
      <c r="F8" s="9" t="s">
        <v>33</v>
      </c>
      <c r="G8" s="7" t="s">
        <v>21</v>
      </c>
      <c r="H8" s="8" t="s">
        <v>75</v>
      </c>
      <c r="I8" s="10"/>
    </row>
    <row r="9" ht="22.5" customHeight="1">
      <c r="A9" s="3" t="s">
        <v>19</v>
      </c>
      <c r="B9" s="4" t="s">
        <v>35</v>
      </c>
      <c r="C9" s="4">
        <v>1.0</v>
      </c>
      <c r="D9" s="4">
        <v>40.0</v>
      </c>
      <c r="E9" s="5">
        <f t="shared" si="1"/>
        <v>40</v>
      </c>
      <c r="F9" s="9" t="s">
        <v>36</v>
      </c>
      <c r="G9" s="7" t="s">
        <v>12</v>
      </c>
      <c r="H9" s="8" t="s">
        <v>37</v>
      </c>
      <c r="I9" s="10"/>
    </row>
    <row r="10" ht="22.5" customHeight="1">
      <c r="A10" s="3" t="s">
        <v>38</v>
      </c>
      <c r="B10" s="4" t="s">
        <v>39</v>
      </c>
      <c r="C10" s="4">
        <v>1.0</v>
      </c>
      <c r="D10" s="4">
        <v>250.0</v>
      </c>
      <c r="E10" s="5">
        <f t="shared" si="1"/>
        <v>250</v>
      </c>
      <c r="F10" s="9" t="s">
        <v>40</v>
      </c>
      <c r="G10" s="7" t="s">
        <v>21</v>
      </c>
      <c r="H10" s="8" t="s">
        <v>41</v>
      </c>
      <c r="I10" s="10"/>
    </row>
    <row r="11" ht="22.5" customHeight="1">
      <c r="A11" s="3" t="s">
        <v>38</v>
      </c>
      <c r="B11" s="4" t="s">
        <v>42</v>
      </c>
      <c r="C11" s="4">
        <v>4.0</v>
      </c>
      <c r="D11" s="4">
        <v>582.0</v>
      </c>
      <c r="E11" s="5">
        <f t="shared" si="1"/>
        <v>2328</v>
      </c>
      <c r="F11" s="9" t="s">
        <v>43</v>
      </c>
      <c r="G11" s="7" t="s">
        <v>21</v>
      </c>
      <c r="H11" s="8" t="s">
        <v>29</v>
      </c>
      <c r="I11" s="10"/>
    </row>
    <row r="12" ht="22.5" customHeight="1">
      <c r="A12" s="3" t="s">
        <v>38</v>
      </c>
      <c r="B12" s="4" t="s">
        <v>44</v>
      </c>
      <c r="C12" s="4">
        <v>4.0</v>
      </c>
      <c r="D12" s="4">
        <v>25.0</v>
      </c>
      <c r="E12" s="5">
        <f t="shared" si="1"/>
        <v>100</v>
      </c>
      <c r="F12" s="9" t="s">
        <v>45</v>
      </c>
      <c r="G12" s="7" t="s">
        <v>21</v>
      </c>
      <c r="I12" s="10"/>
    </row>
    <row r="13" ht="22.5" customHeight="1">
      <c r="A13" s="14" t="s">
        <v>38</v>
      </c>
      <c r="B13" s="15" t="s">
        <v>46</v>
      </c>
      <c r="C13" s="15">
        <v>4.0</v>
      </c>
      <c r="D13" s="15">
        <v>110.0</v>
      </c>
      <c r="E13" s="16">
        <f t="shared" si="1"/>
        <v>440</v>
      </c>
      <c r="F13" s="18" t="s">
        <v>47</v>
      </c>
      <c r="G13" s="7" t="s">
        <v>17</v>
      </c>
      <c r="H13" s="8" t="s">
        <v>48</v>
      </c>
      <c r="I13" s="10"/>
    </row>
    <row r="14" ht="22.5" customHeight="1">
      <c r="A14" s="3" t="s">
        <v>49</v>
      </c>
      <c r="B14" s="4" t="s">
        <v>50</v>
      </c>
      <c r="C14" s="4">
        <v>1.0</v>
      </c>
      <c r="D14" s="4">
        <v>650.0</v>
      </c>
      <c r="E14" s="5">
        <f t="shared" si="1"/>
        <v>650</v>
      </c>
      <c r="F14" s="9" t="s">
        <v>51</v>
      </c>
      <c r="G14" s="7" t="s">
        <v>12</v>
      </c>
      <c r="H14" s="8" t="s">
        <v>52</v>
      </c>
      <c r="I14" s="10"/>
    </row>
    <row r="15" ht="22.5" customHeight="1">
      <c r="A15" s="3" t="s">
        <v>49</v>
      </c>
      <c r="B15" s="4" t="s">
        <v>53</v>
      </c>
      <c r="C15" s="4">
        <v>1.0</v>
      </c>
      <c r="D15" s="5">
        <v>175.0</v>
      </c>
      <c r="E15" s="5">
        <f t="shared" si="1"/>
        <v>175</v>
      </c>
      <c r="F15" s="9" t="s">
        <v>54</v>
      </c>
      <c r="G15" s="7" t="s">
        <v>12</v>
      </c>
      <c r="H15" s="8" t="s">
        <v>52</v>
      </c>
      <c r="I15" s="10"/>
    </row>
    <row r="16" ht="22.5" customHeight="1">
      <c r="A16" s="14" t="s">
        <v>49</v>
      </c>
      <c r="B16" s="15" t="s">
        <v>55</v>
      </c>
      <c r="C16" s="15">
        <v>1.0</v>
      </c>
      <c r="D16" s="15">
        <v>350.0</v>
      </c>
      <c r="E16" s="16">
        <f t="shared" si="1"/>
        <v>350</v>
      </c>
      <c r="F16" s="17" t="s">
        <v>76</v>
      </c>
      <c r="G16" s="7" t="s">
        <v>17</v>
      </c>
      <c r="H16" s="8" t="s">
        <v>29</v>
      </c>
      <c r="I16" s="10"/>
    </row>
    <row r="17" ht="22.5" customHeight="1">
      <c r="A17" s="14" t="s">
        <v>49</v>
      </c>
      <c r="B17" s="15" t="s">
        <v>57</v>
      </c>
      <c r="C17" s="15">
        <v>3.0</v>
      </c>
      <c r="D17" s="15">
        <v>50.0</v>
      </c>
      <c r="E17" s="16">
        <f t="shared" si="1"/>
        <v>150</v>
      </c>
      <c r="F17" s="17" t="s">
        <v>77</v>
      </c>
      <c r="G17" s="7" t="s">
        <v>17</v>
      </c>
      <c r="H17" s="8" t="s">
        <v>29</v>
      </c>
      <c r="I17" s="10"/>
    </row>
    <row r="18" ht="22.5" customHeight="1">
      <c r="A18" s="14" t="s">
        <v>59</v>
      </c>
      <c r="B18" s="15" t="s">
        <v>60</v>
      </c>
      <c r="C18" s="15">
        <v>2.0</v>
      </c>
      <c r="D18" s="15">
        <v>40.0</v>
      </c>
      <c r="E18" s="16">
        <f t="shared" si="1"/>
        <v>80</v>
      </c>
      <c r="F18" s="17" t="s">
        <v>61</v>
      </c>
      <c r="G18" s="7" t="s">
        <v>17</v>
      </c>
      <c r="H18" s="8" t="s">
        <v>62</v>
      </c>
      <c r="I18" s="10"/>
    </row>
    <row r="19" ht="22.5" customHeight="1">
      <c r="A19" s="3" t="s">
        <v>59</v>
      </c>
      <c r="B19" s="4" t="s">
        <v>63</v>
      </c>
      <c r="C19" s="4">
        <v>2.0</v>
      </c>
      <c r="D19" s="4">
        <v>150.0</v>
      </c>
      <c r="E19" s="5">
        <f t="shared" si="1"/>
        <v>300</v>
      </c>
      <c r="F19" s="9" t="s">
        <v>64</v>
      </c>
      <c r="G19" s="7" t="s">
        <v>21</v>
      </c>
      <c r="H19" s="8" t="s">
        <v>29</v>
      </c>
      <c r="I19" s="10"/>
    </row>
    <row r="20" ht="22.5" customHeight="1">
      <c r="A20" s="14" t="s">
        <v>59</v>
      </c>
      <c r="B20" s="15" t="s">
        <v>65</v>
      </c>
      <c r="C20" s="15">
        <v>1.0</v>
      </c>
      <c r="D20" s="15">
        <v>400.0</v>
      </c>
      <c r="E20" s="16">
        <f t="shared" si="1"/>
        <v>400</v>
      </c>
      <c r="F20" s="17" t="s">
        <v>78</v>
      </c>
      <c r="G20" s="7" t="s">
        <v>17</v>
      </c>
      <c r="H20" s="8" t="s">
        <v>67</v>
      </c>
      <c r="I20" s="10"/>
    </row>
    <row r="21" ht="22.5" customHeight="1">
      <c r="A21" s="14" t="s">
        <v>68</v>
      </c>
      <c r="B21" s="15" t="s">
        <v>69</v>
      </c>
      <c r="C21" s="15">
        <v>1.0</v>
      </c>
      <c r="D21" s="15">
        <v>550.0</v>
      </c>
      <c r="E21" s="16">
        <f t="shared" si="1"/>
        <v>550</v>
      </c>
      <c r="F21" s="18" t="s">
        <v>79</v>
      </c>
      <c r="G21" s="7" t="s">
        <v>17</v>
      </c>
      <c r="H21" s="8" t="s">
        <v>71</v>
      </c>
      <c r="I21" s="10"/>
    </row>
    <row r="22" ht="22.5" customHeight="1">
      <c r="A22" s="11"/>
      <c r="B22" s="12"/>
      <c r="C22" s="12"/>
      <c r="D22" s="12"/>
      <c r="E22" s="13">
        <f>SUM(Table1_2[Total Price])</f>
        <v>19960</v>
      </c>
      <c r="F22" s="12"/>
    </row>
  </sheetData>
  <dataValidations>
    <dataValidation type="list" allowBlank="1" sqref="G2:G21">
      <formula1>"NA,I,II"</formula1>
    </dataValidation>
    <dataValidation type="list" allowBlank="1" sqref="I2:I21">
      <formula1>"Yes,No,Received,Unavailable"</formula1>
    </dataValidation>
  </dataValidations>
  <hyperlinks>
    <hyperlink r:id="rId1" ref="F2"/>
    <hyperlink r:id="rId2" ref="F3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</hyperlinks>
  <drawing r:id="rId20"/>
  <tableParts count="1">
    <tablePart r:id="rId22"/>
  </tableParts>
</worksheet>
</file>